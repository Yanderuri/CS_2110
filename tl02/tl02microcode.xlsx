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gavin/Documents/Spring 2023/CS 2110/TL2/"/>
    </mc:Choice>
  </mc:AlternateContent>
  <xr:revisionPtr revIDLastSave="0" documentId="8_{FE3115B8-D17B-4FF7-B769-6683F52542F8}" xr6:coauthVersionLast="47" xr6:coauthVersionMax="47" xr10:uidLastSave="{00000000-0000-0000-0000-000000000000}"/>
  <bookViews>
    <workbookView xWindow="1840" yWindow="500" windowWidth="25320" windowHeight="15580" tabRatio="500" xr2:uid="{00000000-000D-0000-FFFF-FFFF00000000}"/>
  </bookViews>
  <sheets>
    <sheet name="microcode" sheetId="1" r:id="rId1"/>
    <sheet name="output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2" l="1"/>
  <c r="AH9" i="1"/>
  <c r="F6" i="2" s="1"/>
  <c r="AH7" i="1"/>
  <c r="D8" i="2" s="1"/>
  <c r="AH8" i="1"/>
  <c r="D24" i="2" s="1"/>
  <c r="AH29" i="1"/>
  <c r="D6" i="2" s="1"/>
  <c r="AH30" i="1"/>
  <c r="D32" i="2" s="1"/>
  <c r="AH25" i="1"/>
  <c r="D43" i="2" s="1"/>
  <c r="AH27" i="1"/>
  <c r="D30" i="2" s="1"/>
  <c r="AH26" i="1"/>
  <c r="D59" i="2" s="1"/>
  <c r="AH24" i="1"/>
  <c r="D27" i="2" s="1"/>
  <c r="AH23" i="1"/>
  <c r="D11" i="2" s="1"/>
  <c r="AH21" i="1"/>
  <c r="D36" i="2" s="1"/>
  <c r="AH17" i="1"/>
  <c r="D39" i="2" s="1"/>
  <c r="AH20" i="1"/>
  <c r="D20" i="2" s="1"/>
  <c r="AH19" i="1"/>
  <c r="D4" i="2" s="1"/>
  <c r="B14" i="2"/>
  <c r="AH4" i="1"/>
  <c r="D2" i="2" s="1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AH16" i="1"/>
  <c r="D23" i="2" s="1"/>
  <c r="AH15" i="1"/>
  <c r="F7" i="2" s="1"/>
  <c r="AH12" i="1"/>
  <c r="D13" i="2" s="1"/>
  <c r="D7" i="2" l="1"/>
  <c r="D40" i="2"/>
</calcChain>
</file>

<file path=xl/sharedStrings.xml><?xml version="1.0" encoding="utf-8"?>
<sst xmlns="http://schemas.openxmlformats.org/spreadsheetml/2006/main" count="179" uniqueCount="111">
  <si>
    <t>LD.MAR (1)</t>
  </si>
  <si>
    <t>LD.MDR (1)</t>
  </si>
  <si>
    <t>LD.IR (1)</t>
  </si>
  <si>
    <t>LD.REG (1)</t>
  </si>
  <si>
    <t>LD.CC (1)</t>
  </si>
  <si>
    <t>LD.PC (1)</t>
  </si>
  <si>
    <t>GatePC (1)</t>
  </si>
  <si>
    <t>GateMDR (1)</t>
  </si>
  <si>
    <t>GateALU (1)</t>
  </si>
  <si>
    <t>GateMARMUX (1)</t>
  </si>
  <si>
    <t>PCMUX (2)</t>
  </si>
  <si>
    <t xml:space="preserve"> </t>
  </si>
  <si>
    <t>DRMUX (1)</t>
  </si>
  <si>
    <t>SR1MUX (1)</t>
  </si>
  <si>
    <t>ADDR1MUX (1)</t>
  </si>
  <si>
    <t>ADDR2MUX (2)</t>
  </si>
  <si>
    <t>MARMUX (1)</t>
  </si>
  <si>
    <t>ALUK (2)</t>
  </si>
  <si>
    <t>MEM.EN (1)</t>
  </si>
  <si>
    <t>R.W (1)</t>
  </si>
  <si>
    <t>NEXT (6 bits)</t>
  </si>
  <si>
    <t xml:space="preserve">   </t>
  </si>
  <si>
    <t>OUTPUT</t>
  </si>
  <si>
    <t>INC</t>
  </si>
  <si>
    <t>INC1</t>
  </si>
  <si>
    <t>LDPC</t>
  </si>
  <si>
    <t>LDPC1</t>
  </si>
  <si>
    <t>LDPC2</t>
  </si>
  <si>
    <t>LDPC3</t>
  </si>
  <si>
    <t>LJSR</t>
  </si>
  <si>
    <t>LJSR1</t>
  </si>
  <si>
    <t>MULT8</t>
  </si>
  <si>
    <t>MULT81</t>
  </si>
  <si>
    <t>MULT82</t>
  </si>
  <si>
    <t>MULT83</t>
  </si>
  <si>
    <t>LDAR</t>
  </si>
  <si>
    <t>LDAR1</t>
  </si>
  <si>
    <t>LDAR2</t>
  </si>
  <si>
    <t>LDAR3</t>
  </si>
  <si>
    <t>STPCI</t>
  </si>
  <si>
    <t>STPCI1</t>
  </si>
  <si>
    <t>STPCI2</t>
  </si>
  <si>
    <t>STPCI3</t>
  </si>
  <si>
    <t>STPCI4</t>
  </si>
  <si>
    <t>STPCI5</t>
  </si>
  <si>
    <t>CCH</t>
  </si>
  <si>
    <t>CCH1</t>
  </si>
  <si>
    <t>CCH2</t>
  </si>
  <si>
    <t>BR0</t>
  </si>
  <si>
    <t>0000008</t>
  </si>
  <si>
    <t>old instruction that got overwritten</t>
  </si>
  <si>
    <t>LD1</t>
  </si>
  <si>
    <t>8041412</t>
  </si>
  <si>
    <t>*</t>
  </si>
  <si>
    <t>JSR0/JSRR0</t>
  </si>
  <si>
    <t>0000014</t>
  </si>
  <si>
    <t>JSR/JSRR</t>
  </si>
  <si>
    <t>SETCC1</t>
  </si>
  <si>
    <t>LDN1</t>
  </si>
  <si>
    <t>8046C17</t>
  </si>
  <si>
    <t>STR1</t>
  </si>
  <si>
    <t>FETCH1</t>
  </si>
  <si>
    <t>NOT1</t>
  </si>
  <si>
    <t>1884208</t>
  </si>
  <si>
    <t>804141A</t>
  </si>
  <si>
    <t>LDI1</t>
  </si>
  <si>
    <t>STI1</t>
  </si>
  <si>
    <t>804141B</t>
  </si>
  <si>
    <t>LDSR1</t>
  </si>
  <si>
    <t>8084011</t>
  </si>
  <si>
    <t>LEA1</t>
  </si>
  <si>
    <t>1041408</t>
  </si>
  <si>
    <t>HALT</t>
  </si>
  <si>
    <t>000000F</t>
  </si>
  <si>
    <t>BR1</t>
  </si>
  <si>
    <t>0411008</t>
  </si>
  <si>
    <t>LDSR2</t>
  </si>
  <si>
    <t>4000095</t>
  </si>
  <si>
    <t>LD2</t>
  </si>
  <si>
    <t>40000A2</t>
  </si>
  <si>
    <t>JSR1</t>
  </si>
  <si>
    <t>1619808</t>
  </si>
  <si>
    <t>LDSR3</t>
  </si>
  <si>
    <t>1900008</t>
  </si>
  <si>
    <t>4080327</t>
  </si>
  <si>
    <t>STR2</t>
  </si>
  <si>
    <t>FETCH2</t>
  </si>
  <si>
    <t>40000A8</t>
  </si>
  <si>
    <t>UNUSED****</t>
  </si>
  <si>
    <t>40000AA</t>
  </si>
  <si>
    <t>LDI2</t>
  </si>
  <si>
    <t>STI2</t>
  </si>
  <si>
    <t>40000AB</t>
  </si>
  <si>
    <t>LDI5</t>
  </si>
  <si>
    <t>LD3</t>
  </si>
  <si>
    <t>JSRR1</t>
  </si>
  <si>
    <t>161E008</t>
  </si>
  <si>
    <t>00000C8</t>
  </si>
  <si>
    <t>STR3</t>
  </si>
  <si>
    <t>FETCH3</t>
  </si>
  <si>
    <t>810003A</t>
  </si>
  <si>
    <t>LDI3</t>
  </si>
  <si>
    <t>STI3</t>
  </si>
  <si>
    <t>810003B</t>
  </si>
  <si>
    <t>STI5</t>
  </si>
  <si>
    <t>DECODE</t>
  </si>
  <si>
    <t>0000020</t>
  </si>
  <si>
    <t>400009D</t>
  </si>
  <si>
    <t>LDI4</t>
  </si>
  <si>
    <t>STI4</t>
  </si>
  <si>
    <t>408032D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</si>
</sst>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"/>
    </font>
    <font>
      <sz val="14"/>
      <name val="Calibri"/>
      <family val="2"/>
      <charset val="1"/>
    </font>
    <font>
      <sz val="12"/>
      <color rgb="FF0061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24"/>
      <color rgb="FF000000"/>
      <name val="Calibri"/>
      <family val="2"/>
      <charset val="1"/>
    </font>
    <font>
      <b/>
      <sz val="24"/>
      <name val="Calibri"/>
      <family val="2"/>
      <charset val="1"/>
    </font>
    <font>
      <sz val="13"/>
      <color rgb="FF2C363C"/>
      <name val="Consolas"/>
      <family val="2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24"/>
      <color rgb="FF000000"/>
      <name val="Calibri   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1" tint="0.24994659260841701"/>
        <bgColor indexed="65"/>
      </patternFill>
    </fill>
    <fill>
      <patternFill patternType="solid">
        <fgColor rgb="FFFFFF00"/>
      </patternFill>
    </fill>
    <fill>
      <patternFill patternType="solid">
        <fgColor theme="5" tint="0.39997558519241921"/>
        <bgColor rgb="FFF4B183"/>
      </patternFill>
    </fill>
    <fill>
      <patternFill patternType="solid">
        <fgColor theme="7" tint="0.39997558519241921"/>
        <bgColor rgb="FF9DC3E6"/>
      </patternFill>
    </fill>
    <fill>
      <patternFill patternType="solid">
        <fgColor theme="4" tint="0.59999389629810485"/>
        <bgColor rgb="FFFFD966"/>
      </patternFill>
    </fill>
    <fill>
      <patternFill patternType="solid">
        <fgColor theme="9" tint="0.39997558519241921"/>
        <bgColor rgb="FFCCCCFF"/>
      </patternFill>
    </fill>
    <fill>
      <patternFill patternType="solid">
        <fgColor rgb="FF40404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2" borderId="0" applyBorder="0" applyProtection="0"/>
    <xf numFmtId="0" fontId="9" fillId="3" borderId="0"/>
    <xf numFmtId="0" fontId="10" fillId="4" borderId="0"/>
  </cellStyleXfs>
  <cellXfs count="90">
    <xf numFmtId="0" fontId="0" fillId="0" borderId="0" xfId="0"/>
    <xf numFmtId="0" fontId="0" fillId="0" borderId="1" xfId="0" applyBorder="1" applyAlignment="1">
      <alignment horizontal="left" textRotation="45"/>
    </xf>
    <xf numFmtId="0" fontId="0" fillId="0" borderId="2" xfId="0" applyBorder="1" applyAlignment="1">
      <alignment horizontal="left" textRotation="45"/>
    </xf>
    <xf numFmtId="0" fontId="0" fillId="0" borderId="0" xfId="0" applyAlignment="1">
      <alignment horizontal="left" textRotation="45"/>
    </xf>
    <xf numFmtId="0" fontId="0" fillId="0" borderId="7" xfId="0" applyBorder="1"/>
    <xf numFmtId="0" fontId="0" fillId="0" borderId="8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5" fillId="0" borderId="21" xfId="0" applyFont="1" applyBorder="1"/>
    <xf numFmtId="0" fontId="6" fillId="0" borderId="21" xfId="0" applyFont="1" applyBorder="1"/>
    <xf numFmtId="0" fontId="5" fillId="0" borderId="15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4" borderId="0" xfId="3"/>
    <xf numFmtId="0" fontId="0" fillId="0" borderId="19" xfId="0" applyBorder="1"/>
    <xf numFmtId="49" fontId="10" fillId="4" borderId="0" xfId="3" applyNumberFormat="1"/>
    <xf numFmtId="0" fontId="11" fillId="0" borderId="21" xfId="0" applyFont="1" applyBorder="1"/>
    <xf numFmtId="0" fontId="10" fillId="0" borderId="0" xfId="3" applyFill="1"/>
    <xf numFmtId="0" fontId="1" fillId="5" borderId="3" xfId="1" applyFont="1" applyFill="1" applyBorder="1" applyAlignment="1" applyProtection="1">
      <alignment horizontal="left" textRotation="45"/>
    </xf>
    <xf numFmtId="0" fontId="1" fillId="5" borderId="4" xfId="1" applyFont="1" applyFill="1" applyBorder="1" applyAlignment="1" applyProtection="1">
      <alignment horizontal="left" textRotation="45"/>
    </xf>
    <xf numFmtId="0" fontId="4" fillId="5" borderId="9" xfId="1" applyFont="1" applyFill="1" applyBorder="1" applyProtection="1"/>
    <xf numFmtId="0" fontId="4" fillId="5" borderId="0" xfId="1" applyFont="1" applyFill="1" applyBorder="1" applyProtection="1"/>
    <xf numFmtId="0" fontId="4" fillId="5" borderId="12" xfId="1" applyFont="1" applyFill="1" applyBorder="1" applyProtection="1"/>
    <xf numFmtId="0" fontId="4" fillId="5" borderId="17" xfId="1" applyFont="1" applyFill="1" applyBorder="1" applyProtection="1"/>
    <xf numFmtId="0" fontId="4" fillId="5" borderId="8" xfId="1" applyFont="1" applyFill="1" applyBorder="1" applyProtection="1"/>
    <xf numFmtId="0" fontId="4" fillId="5" borderId="9" xfId="0" applyFont="1" applyFill="1" applyBorder="1"/>
    <xf numFmtId="0" fontId="4" fillId="5" borderId="11" xfId="0" applyFont="1" applyFill="1" applyBorder="1"/>
    <xf numFmtId="0" fontId="4" fillId="5" borderId="12" xfId="0" applyFont="1" applyFill="1" applyBorder="1"/>
    <xf numFmtId="0" fontId="4" fillId="5" borderId="8" xfId="0" applyFont="1" applyFill="1" applyBorder="1"/>
    <xf numFmtId="0" fontId="3" fillId="6" borderId="3" xfId="0" applyFont="1" applyFill="1" applyBorder="1" applyAlignment="1">
      <alignment horizontal="left" textRotation="45"/>
    </xf>
    <xf numFmtId="0" fontId="3" fillId="6" borderId="5" xfId="0" applyFont="1" applyFill="1" applyBorder="1" applyAlignment="1">
      <alignment horizontal="left" textRotation="45"/>
    </xf>
    <xf numFmtId="0" fontId="0" fillId="6" borderId="9" xfId="0" applyFill="1" applyBorder="1"/>
    <xf numFmtId="0" fontId="0" fillId="6" borderId="10" xfId="0" applyFill="1" applyBorder="1"/>
    <xf numFmtId="0" fontId="0" fillId="6" borderId="12" xfId="0" applyFill="1" applyBorder="1"/>
    <xf numFmtId="0" fontId="0" fillId="6" borderId="17" xfId="0" applyFill="1" applyBorder="1"/>
    <xf numFmtId="0" fontId="0" fillId="6" borderId="8" xfId="0" applyFill="1" applyBorder="1"/>
    <xf numFmtId="0" fontId="0" fillId="6" borderId="11" xfId="0" applyFill="1" applyBorder="1"/>
    <xf numFmtId="0" fontId="3" fillId="7" borderId="5" xfId="0" applyFont="1" applyFill="1" applyBorder="1" applyAlignment="1">
      <alignment horizontal="left" textRotation="45"/>
    </xf>
    <xf numFmtId="0" fontId="3" fillId="7" borderId="2" xfId="0" applyFont="1" applyFill="1" applyBorder="1" applyAlignment="1">
      <alignment horizontal="left" textRotation="45"/>
    </xf>
    <xf numFmtId="0" fontId="3" fillId="7" borderId="3" xfId="0" applyFont="1" applyFill="1" applyBorder="1" applyAlignment="1">
      <alignment horizontal="left" textRotation="45"/>
    </xf>
    <xf numFmtId="0" fontId="0" fillId="7" borderId="10" xfId="0" applyFill="1" applyBorder="1"/>
    <xf numFmtId="0" fontId="0" fillId="7" borderId="11" xfId="0" applyFill="1" applyBorder="1" applyAlignment="1">
      <alignment horizontal="right" textRotation="90"/>
    </xf>
    <xf numFmtId="0" fontId="0" fillId="7" borderId="8" xfId="0" applyFill="1" applyBorder="1" applyAlignment="1">
      <alignment horizontal="right" textRotation="90"/>
    </xf>
    <xf numFmtId="0" fontId="0" fillId="7" borderId="12" xfId="0" applyFill="1" applyBorder="1" applyAlignment="1">
      <alignment horizontal="right" textRotation="90"/>
    </xf>
    <xf numFmtId="0" fontId="0" fillId="7" borderId="13" xfId="0" applyFill="1" applyBorder="1" applyAlignment="1">
      <alignment horizontal="right" textRotation="90"/>
    </xf>
    <xf numFmtId="0" fontId="0" fillId="7" borderId="8" xfId="0" applyFill="1" applyBorder="1"/>
    <xf numFmtId="0" fontId="0" fillId="7" borderId="0" xfId="0" applyFill="1"/>
    <xf numFmtId="0" fontId="0" fillId="7" borderId="17" xfId="0" applyFill="1" applyBorder="1"/>
    <xf numFmtId="0" fontId="0" fillId="7" borderId="19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11" xfId="0" applyFill="1" applyBorder="1"/>
    <xf numFmtId="0" fontId="0" fillId="7" borderId="9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22" xfId="0" applyFill="1" applyBorder="1"/>
    <xf numFmtId="0" fontId="3" fillId="8" borderId="3" xfId="0" applyFont="1" applyFill="1" applyBorder="1" applyAlignment="1">
      <alignment horizontal="left" textRotation="45"/>
    </xf>
    <xf numFmtId="0" fontId="0" fillId="8" borderId="8" xfId="0" applyFill="1" applyBorder="1" applyAlignment="1">
      <alignment horizontal="right" textRotation="90"/>
    </xf>
    <xf numFmtId="0" fontId="0" fillId="8" borderId="12" xfId="0" applyFill="1" applyBorder="1" applyAlignment="1">
      <alignment horizontal="right" textRotation="90"/>
    </xf>
    <xf numFmtId="0" fontId="0" fillId="8" borderId="17" xfId="0" applyFill="1" applyBorder="1"/>
    <xf numFmtId="0" fontId="0" fillId="8" borderId="9" xfId="0" applyFill="1" applyBorder="1"/>
    <xf numFmtId="0" fontId="0" fillId="8" borderId="12" xfId="0" applyFill="1" applyBorder="1"/>
    <xf numFmtId="0" fontId="0" fillId="8" borderId="8" xfId="0" applyFill="1" applyBorder="1"/>
    <xf numFmtId="0" fontId="0" fillId="8" borderId="11" xfId="0" applyFill="1" applyBorder="1"/>
    <xf numFmtId="0" fontId="3" fillId="9" borderId="2" xfId="0" applyFont="1" applyFill="1" applyBorder="1" applyAlignment="1">
      <alignment horizontal="left" textRotation="45"/>
    </xf>
    <xf numFmtId="0" fontId="3" fillId="9" borderId="3" xfId="0" applyFont="1" applyFill="1" applyBorder="1" applyAlignment="1">
      <alignment horizontal="left" textRotation="45"/>
    </xf>
    <xf numFmtId="0" fontId="0" fillId="9" borderId="8" xfId="0" applyFill="1" applyBorder="1" applyAlignment="1">
      <alignment horizontal="right" textRotation="90"/>
    </xf>
    <xf numFmtId="0" fontId="0" fillId="9" borderId="12" xfId="0" applyFill="1" applyBorder="1" applyAlignment="1">
      <alignment horizontal="right" textRotation="90"/>
    </xf>
    <xf numFmtId="0" fontId="0" fillId="9" borderId="17" xfId="0" applyFill="1" applyBorder="1"/>
    <xf numFmtId="0" fontId="0" fillId="9" borderId="9" xfId="0" applyFill="1" applyBorder="1"/>
    <xf numFmtId="0" fontId="0" fillId="9" borderId="12" xfId="0" applyFill="1" applyBorder="1"/>
    <xf numFmtId="0" fontId="0" fillId="9" borderId="8" xfId="0" applyFill="1" applyBorder="1"/>
    <xf numFmtId="0" fontId="0" fillId="9" borderId="11" xfId="0" applyFill="1" applyBorder="1"/>
    <xf numFmtId="0" fontId="0" fillId="9" borderId="19" xfId="0" applyFill="1" applyBorder="1"/>
    <xf numFmtId="0" fontId="0" fillId="9" borderId="0" xfId="0" applyFill="1"/>
    <xf numFmtId="0" fontId="3" fillId="9" borderId="5" xfId="0" applyFont="1" applyFill="1" applyBorder="1" applyAlignment="1">
      <alignment horizontal="left" textRotation="45"/>
    </xf>
    <xf numFmtId="0" fontId="3" fillId="9" borderId="4" xfId="0" applyFont="1" applyFill="1" applyBorder="1" applyAlignment="1">
      <alignment horizontal="left" textRotation="45"/>
    </xf>
    <xf numFmtId="0" fontId="0" fillId="9" borderId="4" xfId="0" applyFill="1" applyBorder="1" applyAlignment="1">
      <alignment horizontal="left" textRotation="45"/>
    </xf>
    <xf numFmtId="0" fontId="0" fillId="9" borderId="6" xfId="0" applyFill="1" applyBorder="1" applyAlignment="1">
      <alignment horizontal="left" textRotation="45"/>
    </xf>
    <xf numFmtId="0" fontId="0" fillId="9" borderId="13" xfId="0" applyFill="1" applyBorder="1"/>
    <xf numFmtId="0" fontId="0" fillId="9" borderId="14" xfId="0" applyFill="1" applyBorder="1"/>
    <xf numFmtId="0" fontId="0" fillId="9" borderId="18" xfId="0" applyFill="1" applyBorder="1"/>
    <xf numFmtId="0" fontId="0" fillId="9" borderId="16" xfId="0" applyFill="1" applyBorder="1"/>
    <xf numFmtId="0" fontId="0" fillId="9" borderId="20" xfId="0" applyFill="1" applyBorder="1"/>
    <xf numFmtId="0" fontId="0" fillId="9" borderId="10" xfId="0" applyFill="1" applyBorder="1"/>
    <xf numFmtId="0" fontId="0" fillId="9" borderId="22" xfId="0" applyFill="1" applyBorder="1"/>
    <xf numFmtId="0" fontId="0" fillId="9" borderId="23" xfId="0" applyFill="1" applyBorder="1"/>
  </cellXfs>
  <cellStyles count="4">
    <cellStyle name="Excel Built-in Good" xfId="1" xr:uid="{00000000-0005-0000-0000-000006000000}"/>
    <cellStyle name="Normal" xfId="0" builtinId="0"/>
    <cellStyle name="Style 1" xfId="2" xr:uid="{036FA999-6918-EE48-8CF6-59FC776A8C20}"/>
    <cellStyle name="Style 2" xfId="3" xr:uid="{14DED79A-8C12-0940-AB80-7B80374A9B3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B3838"/>
      <rgbColor rgb="FF993300"/>
      <rgbColor rgb="FF993366"/>
      <rgbColor rgb="FF333399"/>
      <rgbColor rgb="FF2C36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3FCEC"/>
      <color rgb="FF73FDD6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6"/>
  <sheetViews>
    <sheetView tabSelected="1" zoomScale="70" zoomScaleNormal="70" workbookViewId="0">
      <pane ySplit="1" topLeftCell="A13" activePane="bottomLeft" state="frozen"/>
      <selection pane="bottomLeft" activeCell="AF20" sqref="AF20"/>
    </sheetView>
  </sheetViews>
  <sheetFormatPr defaultColWidth="11.125" defaultRowHeight="15.95"/>
  <cols>
    <col min="1" max="1" width="17" customWidth="1"/>
    <col min="2" max="30" width="4.625" customWidth="1"/>
    <col min="31" max="31" width="2.625" customWidth="1"/>
  </cols>
  <sheetData>
    <row r="1" spans="1:75" ht="90">
      <c r="A1" s="1"/>
      <c r="B1" s="2"/>
      <c r="C1" s="21" t="s">
        <v>0</v>
      </c>
      <c r="D1" s="21" t="s">
        <v>1</v>
      </c>
      <c r="E1" s="21" t="s">
        <v>2</v>
      </c>
      <c r="F1" s="22" t="s">
        <v>3</v>
      </c>
      <c r="G1" s="21" t="s">
        <v>4</v>
      </c>
      <c r="H1" s="21" t="s">
        <v>5</v>
      </c>
      <c r="I1" s="32" t="s">
        <v>6</v>
      </c>
      <c r="J1" s="32" t="s">
        <v>7</v>
      </c>
      <c r="K1" s="32" t="s">
        <v>8</v>
      </c>
      <c r="L1" s="33" t="s">
        <v>9</v>
      </c>
      <c r="M1" s="40" t="s">
        <v>10</v>
      </c>
      <c r="N1" s="41" t="s">
        <v>11</v>
      </c>
      <c r="O1" s="67" t="s">
        <v>12</v>
      </c>
      <c r="P1" s="68" t="s">
        <v>13</v>
      </c>
      <c r="Q1" s="42" t="s">
        <v>14</v>
      </c>
      <c r="R1" s="40" t="s">
        <v>15</v>
      </c>
      <c r="S1" s="41" t="s">
        <v>11</v>
      </c>
      <c r="T1" s="41" t="s">
        <v>16</v>
      </c>
      <c r="U1" s="40" t="s">
        <v>17</v>
      </c>
      <c r="V1" s="41" t="s">
        <v>11</v>
      </c>
      <c r="W1" s="59" t="s">
        <v>18</v>
      </c>
      <c r="X1" s="59" t="s">
        <v>19</v>
      </c>
      <c r="Y1" s="78" t="s">
        <v>20</v>
      </c>
      <c r="Z1" s="79" t="s">
        <v>11</v>
      </c>
      <c r="AA1" s="80" t="s">
        <v>11</v>
      </c>
      <c r="AB1" s="80" t="s">
        <v>11</v>
      </c>
      <c r="AC1" s="80" t="s">
        <v>11</v>
      </c>
      <c r="AD1" s="81" t="s">
        <v>21</v>
      </c>
      <c r="AF1" s="3"/>
      <c r="AG1" s="3"/>
    </row>
    <row r="2" spans="1:75" ht="15.75">
      <c r="A2" s="4"/>
      <c r="B2" s="5"/>
      <c r="C2" s="23"/>
      <c r="D2" s="23"/>
      <c r="E2" s="23"/>
      <c r="F2" s="24"/>
      <c r="G2" s="23"/>
      <c r="H2" s="23"/>
      <c r="I2" s="34"/>
      <c r="J2" s="34"/>
      <c r="K2" s="34"/>
      <c r="L2" s="35"/>
      <c r="M2" s="43"/>
      <c r="N2" s="44"/>
      <c r="O2" s="69"/>
      <c r="P2" s="70"/>
      <c r="Q2" s="46"/>
      <c r="R2" s="47"/>
      <c r="S2" s="45"/>
      <c r="T2" s="45"/>
      <c r="U2" s="47"/>
      <c r="V2" s="48"/>
      <c r="W2" s="60"/>
      <c r="X2" s="61"/>
      <c r="Y2" s="82"/>
      <c r="Z2" s="77"/>
      <c r="AA2" s="77"/>
      <c r="AB2" s="77"/>
      <c r="AC2" s="77"/>
      <c r="AD2" s="83"/>
      <c r="AH2" t="s">
        <v>22</v>
      </c>
    </row>
    <row r="3" spans="1:75" ht="32.1" customHeight="1">
      <c r="A3" s="11" t="s">
        <v>23</v>
      </c>
      <c r="B3" s="17"/>
      <c r="C3" s="25"/>
      <c r="D3" s="25"/>
      <c r="E3" s="25"/>
      <c r="F3" s="26"/>
      <c r="G3" s="25"/>
      <c r="H3" s="25"/>
      <c r="I3" s="36"/>
      <c r="J3" s="36"/>
      <c r="K3" s="36"/>
      <c r="L3" s="36"/>
      <c r="M3" s="49"/>
      <c r="N3" s="48"/>
      <c r="O3" s="71"/>
      <c r="P3" s="71"/>
      <c r="Q3" s="51"/>
      <c r="R3" s="52"/>
      <c r="S3" s="51"/>
      <c r="T3" s="50"/>
      <c r="U3" s="53"/>
      <c r="V3" s="51"/>
      <c r="W3" s="62"/>
      <c r="X3" s="62"/>
      <c r="Y3" s="84"/>
      <c r="Z3" s="85"/>
      <c r="AA3" s="85"/>
      <c r="AB3" s="85"/>
      <c r="AC3" s="85"/>
      <c r="AD3" s="86"/>
    </row>
    <row r="4" spans="1:75">
      <c r="A4" s="4" t="s">
        <v>24</v>
      </c>
      <c r="B4" s="8"/>
      <c r="C4" s="23"/>
      <c r="D4" s="23"/>
      <c r="E4" s="23"/>
      <c r="F4" s="23"/>
      <c r="G4" s="23"/>
      <c r="H4" s="23"/>
      <c r="I4" s="34"/>
      <c r="J4" s="34"/>
      <c r="K4" s="34"/>
      <c r="L4" s="34"/>
      <c r="M4" s="43"/>
      <c r="N4" s="54"/>
      <c r="O4" s="72">
        <v>0</v>
      </c>
      <c r="P4" s="72">
        <v>0</v>
      </c>
      <c r="Q4" s="55"/>
      <c r="R4" s="43"/>
      <c r="S4" s="54"/>
      <c r="T4" s="55"/>
      <c r="U4" s="43"/>
      <c r="V4" s="54"/>
      <c r="W4" s="63"/>
      <c r="X4" s="63"/>
      <c r="Y4" s="87">
        <v>0</v>
      </c>
      <c r="Z4" s="88">
        <v>0</v>
      </c>
      <c r="AA4" s="88">
        <v>1</v>
      </c>
      <c r="AB4" s="88">
        <v>0</v>
      </c>
      <c r="AC4" s="88">
        <v>0</v>
      </c>
      <c r="AD4" s="89">
        <v>0</v>
      </c>
      <c r="AH4" t="str">
        <f>_xlfn.CONCAT(BIN2HEX(_xlfn.CONCAT(C4:F4), 1), BIN2HEX(_xlfn.CONCAT(G4:N4), 2), BIN2HEX(_xlfn.CONCAT(O4:V4), 2), BIN2HEX(_xlfn.CONCAT(W4:AD4), 2) )</f>
        <v>0000008</v>
      </c>
      <c r="BQ4" s="3"/>
      <c r="BR4" s="3"/>
    </row>
    <row r="5" spans="1:75" ht="30.95">
      <c r="A5" s="11" t="s">
        <v>25</v>
      </c>
      <c r="B5" s="6"/>
      <c r="C5" s="26"/>
      <c r="D5" s="26"/>
      <c r="E5" s="26"/>
      <c r="F5" s="26"/>
      <c r="G5" s="26"/>
      <c r="H5" s="26"/>
      <c r="I5" s="37"/>
      <c r="J5" s="37"/>
      <c r="K5" s="37"/>
      <c r="L5" s="37"/>
      <c r="M5" s="53"/>
      <c r="N5" s="51"/>
      <c r="O5" s="71"/>
      <c r="P5" s="73"/>
      <c r="Q5" s="50"/>
      <c r="R5" s="53"/>
      <c r="S5" s="51"/>
      <c r="T5" s="50"/>
      <c r="U5" s="53"/>
      <c r="V5" s="51"/>
      <c r="W5" s="62"/>
      <c r="X5" s="62"/>
      <c r="Y5" s="84"/>
      <c r="Z5" s="85"/>
      <c r="AA5" s="85"/>
      <c r="AB5" s="85"/>
      <c r="AC5" s="85"/>
      <c r="AD5" s="86"/>
    </row>
    <row r="6" spans="1:75">
      <c r="A6" s="7"/>
      <c r="C6" s="25"/>
      <c r="D6" s="25"/>
      <c r="E6" s="25"/>
      <c r="F6" s="25"/>
      <c r="G6" s="25"/>
      <c r="H6" s="25"/>
      <c r="I6" s="36"/>
      <c r="J6" s="36"/>
      <c r="K6" s="36"/>
      <c r="L6" s="36"/>
      <c r="M6" s="57"/>
      <c r="N6" s="48"/>
      <c r="O6" s="73"/>
      <c r="P6" s="73"/>
      <c r="Q6" s="56"/>
      <c r="R6" s="57"/>
      <c r="S6" s="48"/>
      <c r="T6" s="56"/>
      <c r="U6" s="57"/>
      <c r="V6" s="48"/>
      <c r="W6" s="64"/>
      <c r="X6" s="64"/>
      <c r="Y6" s="82"/>
      <c r="Z6" s="77"/>
      <c r="AA6" s="77"/>
      <c r="AB6" s="77"/>
      <c r="AC6" s="77"/>
      <c r="AD6" s="83"/>
    </row>
    <row r="7" spans="1:75">
      <c r="A7" s="7" t="s">
        <v>26</v>
      </c>
      <c r="C7" s="25"/>
      <c r="D7" s="27"/>
      <c r="E7" s="27"/>
      <c r="F7" s="27"/>
      <c r="G7" s="27"/>
      <c r="H7" s="27"/>
      <c r="I7" s="38"/>
      <c r="J7" s="38"/>
      <c r="K7" s="38"/>
      <c r="L7" s="38"/>
      <c r="M7" s="49"/>
      <c r="N7" s="48"/>
      <c r="O7" s="74">
        <v>0</v>
      </c>
      <c r="P7" s="74">
        <v>0</v>
      </c>
      <c r="Q7" s="48"/>
      <c r="R7" s="49"/>
      <c r="S7" s="48"/>
      <c r="T7" s="48"/>
      <c r="U7" s="49"/>
      <c r="V7" s="48"/>
      <c r="W7" s="65"/>
      <c r="X7" s="65"/>
      <c r="Y7" s="77">
        <v>0</v>
      </c>
      <c r="Z7" s="77">
        <v>1</v>
      </c>
      <c r="AA7" s="77">
        <v>0</v>
      </c>
      <c r="AB7" s="77">
        <v>1</v>
      </c>
      <c r="AC7" s="77">
        <v>1</v>
      </c>
      <c r="AD7" s="83">
        <v>1</v>
      </c>
      <c r="AH7" t="str">
        <f t="shared" ref="AH7:AH8" si="0">_xlfn.CONCAT(BIN2HEX(_xlfn.CONCAT(C7:F7), 1), BIN2HEX(_xlfn.CONCAT(G7:N7), 2), BIN2HEX(_xlfn.CONCAT(O7:V7), 2), BIN2HEX(_xlfn.CONCAT(W7:AD7), 2) )</f>
        <v>0000017</v>
      </c>
    </row>
    <row r="8" spans="1:75">
      <c r="A8" s="7" t="s">
        <v>27</v>
      </c>
      <c r="C8" s="25"/>
      <c r="D8" s="27"/>
      <c r="E8" s="27"/>
      <c r="F8" s="27"/>
      <c r="G8" s="27"/>
      <c r="H8" s="27"/>
      <c r="I8" s="38"/>
      <c r="J8" s="38"/>
      <c r="K8" s="38"/>
      <c r="L8" s="38"/>
      <c r="M8" s="49"/>
      <c r="N8" s="48"/>
      <c r="O8" s="74">
        <v>0</v>
      </c>
      <c r="P8" s="74">
        <v>0</v>
      </c>
      <c r="Q8" s="48"/>
      <c r="R8" s="49"/>
      <c r="S8" s="48"/>
      <c r="T8" s="48"/>
      <c r="U8" s="49"/>
      <c r="V8" s="48"/>
      <c r="W8" s="65"/>
      <c r="X8" s="65"/>
      <c r="Y8" s="77">
        <v>1</v>
      </c>
      <c r="Z8" s="77">
        <v>0</v>
      </c>
      <c r="AA8" s="77">
        <v>0</v>
      </c>
      <c r="AB8" s="77">
        <v>1</v>
      </c>
      <c r="AC8" s="77">
        <v>1</v>
      </c>
      <c r="AD8" s="83">
        <v>1</v>
      </c>
      <c r="AH8" t="str">
        <f t="shared" si="0"/>
        <v>0000027</v>
      </c>
    </row>
    <row r="9" spans="1:75">
      <c r="A9" s="4" t="s">
        <v>28</v>
      </c>
      <c r="B9" s="8"/>
      <c r="C9" s="28"/>
      <c r="D9" s="29"/>
      <c r="E9" s="29"/>
      <c r="F9" s="29"/>
      <c r="G9" s="29"/>
      <c r="H9" s="29"/>
      <c r="I9" s="39"/>
      <c r="J9" s="39"/>
      <c r="K9" s="39"/>
      <c r="L9" s="39"/>
      <c r="M9" s="58"/>
      <c r="N9" s="54"/>
      <c r="O9" s="75">
        <v>0</v>
      </c>
      <c r="P9" s="74">
        <v>0</v>
      </c>
      <c r="Q9" s="54"/>
      <c r="R9" s="58"/>
      <c r="S9" s="54"/>
      <c r="T9" s="54"/>
      <c r="U9" s="58"/>
      <c r="V9" s="54"/>
      <c r="W9" s="66"/>
      <c r="X9" s="66"/>
      <c r="Y9" s="88">
        <v>0</v>
      </c>
      <c r="Z9" s="88">
        <v>0</v>
      </c>
      <c r="AA9" s="88">
        <v>1</v>
      </c>
      <c r="AB9" s="88">
        <v>0</v>
      </c>
      <c r="AC9" s="88">
        <v>0</v>
      </c>
      <c r="AD9" s="89">
        <v>0</v>
      </c>
      <c r="AH9" t="str">
        <f>_xlfn.CONCAT(BIN2HEX(_xlfn.CONCAT(C9:F9), 1), BIN2HEX(_xlfn.CONCAT(G9:N9), 2), BIN2HEX(_xlfn.CONCAT(O9:V9), 2), BIN2HEX(_xlfn.CONCAT(W9:AD9), 2) )</f>
        <v>0000008</v>
      </c>
    </row>
    <row r="10" spans="1:75" ht="32.1" customHeight="1">
      <c r="A10" s="19" t="s">
        <v>29</v>
      </c>
      <c r="B10" s="6"/>
      <c r="C10" s="30"/>
      <c r="D10" s="31"/>
      <c r="E10" s="31"/>
      <c r="F10" s="31"/>
      <c r="G10" s="31"/>
      <c r="H10" s="31"/>
      <c r="I10" s="38"/>
      <c r="J10" s="38"/>
      <c r="K10" s="38"/>
      <c r="L10" s="38"/>
      <c r="M10" s="49"/>
      <c r="N10" s="48"/>
      <c r="O10" s="74"/>
      <c r="P10" s="76"/>
      <c r="Q10" s="48"/>
      <c r="R10" s="49"/>
      <c r="S10" s="48"/>
      <c r="T10" s="48"/>
      <c r="U10" s="49"/>
      <c r="V10" s="48"/>
      <c r="W10" s="65"/>
      <c r="X10" s="65"/>
      <c r="Y10" s="77"/>
      <c r="Z10" s="77"/>
      <c r="AA10" s="77"/>
      <c r="AB10" s="77"/>
      <c r="AC10" s="77"/>
      <c r="AD10" s="83"/>
    </row>
    <row r="11" spans="1:75">
      <c r="A11" s="7"/>
      <c r="C11" s="30"/>
      <c r="D11" s="31"/>
      <c r="E11" s="31"/>
      <c r="F11" s="31"/>
      <c r="G11" s="31"/>
      <c r="H11" s="31"/>
      <c r="I11" s="38"/>
      <c r="J11" s="38"/>
      <c r="K11" s="38"/>
      <c r="L11" s="38"/>
      <c r="M11" s="49"/>
      <c r="N11" s="48"/>
      <c r="O11" s="77"/>
      <c r="P11" s="73"/>
      <c r="Q11" s="48"/>
      <c r="R11" s="49"/>
      <c r="S11" s="48"/>
      <c r="T11" s="48"/>
      <c r="U11" s="49"/>
      <c r="V11" s="48"/>
      <c r="W11" s="65"/>
      <c r="X11" s="65"/>
      <c r="Y11" s="77"/>
      <c r="Z11" s="77"/>
      <c r="AA11" s="77"/>
      <c r="AB11" s="77"/>
      <c r="AC11" s="77"/>
      <c r="AD11" s="83"/>
    </row>
    <row r="12" spans="1:75">
      <c r="A12" s="4" t="s">
        <v>30</v>
      </c>
      <c r="B12" s="8"/>
      <c r="C12" s="28"/>
      <c r="D12" s="29"/>
      <c r="E12" s="29"/>
      <c r="F12" s="29"/>
      <c r="G12" s="29"/>
      <c r="H12" s="29"/>
      <c r="I12" s="39"/>
      <c r="J12" s="39"/>
      <c r="K12" s="39"/>
      <c r="L12" s="39"/>
      <c r="M12" s="58"/>
      <c r="N12" s="54"/>
      <c r="O12" s="75">
        <v>0</v>
      </c>
      <c r="P12" s="72">
        <v>0</v>
      </c>
      <c r="Q12" s="54"/>
      <c r="R12" s="58"/>
      <c r="S12" s="54"/>
      <c r="T12" s="54"/>
      <c r="U12" s="58"/>
      <c r="V12" s="54"/>
      <c r="W12" s="66"/>
      <c r="X12" s="66"/>
      <c r="Y12" s="88">
        <v>0</v>
      </c>
      <c r="Z12" s="88">
        <v>0</v>
      </c>
      <c r="AA12" s="88">
        <v>1</v>
      </c>
      <c r="AB12" s="88">
        <v>0</v>
      </c>
      <c r="AC12" s="88">
        <v>0</v>
      </c>
      <c r="AD12" s="89">
        <v>0</v>
      </c>
      <c r="AH12" t="str">
        <f>_xlfn.CONCAT(BIN2HEX(_xlfn.CONCAT(C12:F12), 1), BIN2HEX(_xlfn.CONCAT(G12:N12), 2), BIN2HEX(_xlfn.CONCAT(O12:V12), 2), BIN2HEX(_xlfn.CONCAT(W12:AD12), 2) )</f>
        <v>0000008</v>
      </c>
    </row>
    <row r="13" spans="1:75" ht="32.1" customHeight="1">
      <c r="A13" s="9" t="s">
        <v>31</v>
      </c>
      <c r="B13" s="6"/>
      <c r="C13" s="30"/>
      <c r="D13" s="31"/>
      <c r="E13" s="31"/>
      <c r="F13" s="31"/>
      <c r="G13" s="31"/>
      <c r="H13" s="31"/>
      <c r="I13" s="38"/>
      <c r="J13" s="38"/>
      <c r="K13" s="38"/>
      <c r="L13" s="38"/>
      <c r="M13" s="49"/>
      <c r="N13" s="48"/>
      <c r="O13" s="74"/>
      <c r="P13" s="74"/>
      <c r="Q13" s="48"/>
      <c r="R13" s="49"/>
      <c r="S13" s="48"/>
      <c r="T13" s="48"/>
      <c r="U13" s="49"/>
      <c r="V13" s="48"/>
      <c r="W13" s="65"/>
      <c r="X13" s="65"/>
      <c r="Y13" s="77"/>
      <c r="Z13" s="77"/>
      <c r="AA13" s="77"/>
      <c r="AB13" s="77"/>
      <c r="AC13" s="77"/>
      <c r="AD13" s="83"/>
    </row>
    <row r="14" spans="1:75" ht="16.350000000000001" customHeight="1">
      <c r="A14" s="7"/>
      <c r="C14" s="30"/>
      <c r="D14" s="31"/>
      <c r="E14" s="31"/>
      <c r="F14" s="31"/>
      <c r="G14" s="31"/>
      <c r="H14" s="31"/>
      <c r="I14" s="38"/>
      <c r="J14" s="38"/>
      <c r="K14" s="38"/>
      <c r="L14" s="38"/>
      <c r="M14" s="49"/>
      <c r="N14" s="48"/>
      <c r="O14" s="74"/>
      <c r="P14" s="74"/>
      <c r="Q14" s="48"/>
      <c r="R14" s="49"/>
      <c r="S14" s="48"/>
      <c r="T14" s="48"/>
      <c r="U14" s="49"/>
      <c r="V14" s="48"/>
      <c r="W14" s="65"/>
      <c r="X14" s="65"/>
      <c r="Y14" s="77"/>
      <c r="Z14" s="77"/>
      <c r="AA14" s="77"/>
      <c r="AB14" s="77"/>
      <c r="AC14" s="77"/>
      <c r="AD14" s="83"/>
    </row>
    <row r="15" spans="1:75">
      <c r="A15" s="7" t="s">
        <v>32</v>
      </c>
      <c r="C15" s="30"/>
      <c r="D15" s="31"/>
      <c r="E15" s="31"/>
      <c r="F15" s="31"/>
      <c r="G15" s="31"/>
      <c r="H15" s="31"/>
      <c r="I15" s="38"/>
      <c r="J15" s="38"/>
      <c r="K15" s="38"/>
      <c r="L15" s="38"/>
      <c r="M15" s="49"/>
      <c r="N15" s="48"/>
      <c r="O15" s="74">
        <v>0</v>
      </c>
      <c r="P15" s="74">
        <v>1</v>
      </c>
      <c r="Q15" s="48"/>
      <c r="R15" s="49"/>
      <c r="S15" s="48"/>
      <c r="T15" s="48"/>
      <c r="U15" s="49"/>
      <c r="V15" s="48"/>
      <c r="W15" s="65"/>
      <c r="X15" s="65"/>
      <c r="Y15" s="77">
        <v>0</v>
      </c>
      <c r="Z15" s="77">
        <v>1</v>
      </c>
      <c r="AA15" s="77">
        <v>0</v>
      </c>
      <c r="AB15" s="77">
        <v>1</v>
      </c>
      <c r="AC15" s="77">
        <v>1</v>
      </c>
      <c r="AD15" s="83">
        <v>0</v>
      </c>
      <c r="AH15" t="str">
        <f>_xlfn.CONCAT(BIN2HEX(_xlfn.CONCAT(C15:F15), 1), BIN2HEX(_xlfn.CONCAT(G15:N15), 2), BIN2HEX(_xlfn.CONCAT(O15:V15), 2), BIN2HEX(_xlfn.CONCAT(W15:AD15), 2) )</f>
        <v>0000116</v>
      </c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</row>
    <row r="16" spans="1:75" ht="18" customHeight="1">
      <c r="A16" s="7" t="s">
        <v>33</v>
      </c>
      <c r="C16" s="30"/>
      <c r="D16" s="31"/>
      <c r="E16" s="31"/>
      <c r="F16" s="31"/>
      <c r="G16" s="31"/>
      <c r="H16" s="31"/>
      <c r="I16" s="38"/>
      <c r="J16" s="38"/>
      <c r="K16" s="38"/>
      <c r="L16" s="38"/>
      <c r="M16" s="49"/>
      <c r="N16" s="48"/>
      <c r="O16" s="74">
        <v>0</v>
      </c>
      <c r="P16" s="74">
        <v>1</v>
      </c>
      <c r="Q16" s="48"/>
      <c r="R16" s="49"/>
      <c r="S16" s="48"/>
      <c r="T16" s="48"/>
      <c r="U16" s="49"/>
      <c r="V16" s="48"/>
      <c r="W16" s="65"/>
      <c r="X16" s="65"/>
      <c r="Y16" s="77">
        <v>1</v>
      </c>
      <c r="Z16" s="77">
        <v>0</v>
      </c>
      <c r="AA16" s="77">
        <v>0</v>
      </c>
      <c r="AB16" s="77">
        <v>1</v>
      </c>
      <c r="AC16" s="77">
        <v>1</v>
      </c>
      <c r="AD16" s="83">
        <v>0</v>
      </c>
      <c r="AH16" t="str">
        <f t="shared" ref="AH16" si="1">_xlfn.CONCAT(BIN2HEX(_xlfn.CONCAT(C16:F16), 1), BIN2HEX(_xlfn.CONCAT(G16:N16), 2), BIN2HEX(_xlfn.CONCAT(O16:V16), 2), BIN2HEX(_xlfn.CONCAT(W16:AD16), 2) )</f>
        <v>0000126</v>
      </c>
      <c r="AK16" s="13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</row>
    <row r="17" spans="1:75">
      <c r="A17" s="4" t="s">
        <v>34</v>
      </c>
      <c r="B17" s="8"/>
      <c r="C17" s="28"/>
      <c r="D17" s="29"/>
      <c r="E17" s="29"/>
      <c r="F17" s="29"/>
      <c r="G17" s="29"/>
      <c r="H17" s="29"/>
      <c r="I17" s="39"/>
      <c r="J17" s="39"/>
      <c r="K17" s="39"/>
      <c r="L17" s="39"/>
      <c r="M17" s="58"/>
      <c r="N17" s="54"/>
      <c r="O17" s="75">
        <v>0</v>
      </c>
      <c r="P17" s="74">
        <v>1</v>
      </c>
      <c r="Q17" s="54"/>
      <c r="R17" s="58"/>
      <c r="S17" s="54"/>
      <c r="T17" s="54"/>
      <c r="U17" s="58"/>
      <c r="V17" s="54"/>
      <c r="W17" s="66"/>
      <c r="X17" s="66"/>
      <c r="Y17" s="88">
        <v>0</v>
      </c>
      <c r="Z17" s="88">
        <v>0</v>
      </c>
      <c r="AA17" s="88">
        <v>1</v>
      </c>
      <c r="AB17" s="88">
        <v>0</v>
      </c>
      <c r="AC17" s="88">
        <v>0</v>
      </c>
      <c r="AD17" s="89">
        <v>0</v>
      </c>
      <c r="AH17" t="str">
        <f>_xlfn.CONCAT(BIN2HEX(_xlfn.CONCAT(C17:F17), 1), BIN2HEX(_xlfn.CONCAT(G17:N17), 2), BIN2HEX(_xlfn.CONCAT(O17:V17), 2), BIN2HEX(_xlfn.CONCAT(W17:AD17), 2) )</f>
        <v>0000108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</row>
    <row r="18" spans="1:75" ht="30.95">
      <c r="A18" s="10" t="s">
        <v>35</v>
      </c>
      <c r="B18" s="6"/>
      <c r="C18" s="30"/>
      <c r="D18" s="31"/>
      <c r="E18" s="31"/>
      <c r="F18" s="31"/>
      <c r="G18" s="31"/>
      <c r="H18" s="31"/>
      <c r="I18" s="38"/>
      <c r="J18" s="38"/>
      <c r="K18" s="38"/>
      <c r="L18" s="38"/>
      <c r="M18" s="49"/>
      <c r="N18" s="48"/>
      <c r="O18" s="74"/>
      <c r="P18" s="76"/>
      <c r="Q18" s="48"/>
      <c r="R18" s="49"/>
      <c r="S18" s="48"/>
      <c r="T18" s="48"/>
      <c r="U18" s="49"/>
      <c r="V18" s="48"/>
      <c r="W18" s="65"/>
      <c r="X18" s="65"/>
      <c r="Y18" s="77"/>
      <c r="Z18" s="77"/>
      <c r="AA18" s="77"/>
      <c r="AB18" s="77"/>
      <c r="AC18" s="77"/>
      <c r="AD18" s="83"/>
    </row>
    <row r="19" spans="1:75" ht="32.1" customHeight="1">
      <c r="A19" s="7" t="s">
        <v>36</v>
      </c>
      <c r="C19" s="30"/>
      <c r="D19" s="31"/>
      <c r="E19" s="31"/>
      <c r="F19" s="31"/>
      <c r="G19" s="31"/>
      <c r="H19" s="31"/>
      <c r="I19" s="38"/>
      <c r="J19" s="38"/>
      <c r="K19" s="38"/>
      <c r="L19" s="38"/>
      <c r="M19" s="49"/>
      <c r="N19" s="48"/>
      <c r="O19" s="74">
        <v>0</v>
      </c>
      <c r="P19" s="74">
        <v>1</v>
      </c>
      <c r="Q19" s="48"/>
      <c r="R19" s="49"/>
      <c r="S19" s="48"/>
      <c r="T19" s="48"/>
      <c r="U19" s="49"/>
      <c r="V19" s="48"/>
      <c r="W19" s="65"/>
      <c r="X19" s="65"/>
      <c r="Y19" s="77">
        <v>0</v>
      </c>
      <c r="Z19" s="77">
        <v>1</v>
      </c>
      <c r="AA19" s="77">
        <v>0</v>
      </c>
      <c r="AB19" s="77">
        <v>0</v>
      </c>
      <c r="AC19" s="77">
        <v>1</v>
      </c>
      <c r="AD19" s="83">
        <v>1</v>
      </c>
      <c r="AH19" t="str">
        <f>_xlfn.CONCAT(BIN2HEX(_xlfn.CONCAT(C19:F19), 1), BIN2HEX(_xlfn.CONCAT(G19:N19), 2), BIN2HEX(_xlfn.CONCAT(O19:V19), 2), BIN2HEX(_xlfn.CONCAT(W19:AD19), 2) )</f>
        <v>0000113</v>
      </c>
    </row>
    <row r="20" spans="1:75">
      <c r="A20" s="7" t="s">
        <v>37</v>
      </c>
      <c r="C20" s="30"/>
      <c r="D20" s="31"/>
      <c r="E20" s="31"/>
      <c r="F20" s="31"/>
      <c r="G20" s="31"/>
      <c r="H20" s="31"/>
      <c r="I20" s="38"/>
      <c r="J20" s="38"/>
      <c r="K20" s="38"/>
      <c r="L20" s="38"/>
      <c r="M20" s="49"/>
      <c r="N20" s="48"/>
      <c r="O20" s="74">
        <v>0</v>
      </c>
      <c r="P20" s="74">
        <v>0</v>
      </c>
      <c r="Q20" s="48"/>
      <c r="R20" s="49"/>
      <c r="S20" s="48"/>
      <c r="T20" s="48"/>
      <c r="U20" s="49"/>
      <c r="V20" s="48"/>
      <c r="W20" s="65"/>
      <c r="X20" s="65"/>
      <c r="Y20" s="77">
        <v>1</v>
      </c>
      <c r="Z20" s="77">
        <v>0</v>
      </c>
      <c r="AA20" s="77">
        <v>0</v>
      </c>
      <c r="AB20" s="77">
        <v>0</v>
      </c>
      <c r="AC20" s="77">
        <v>1</v>
      </c>
      <c r="AD20" s="83">
        <v>1</v>
      </c>
      <c r="AH20" t="str">
        <f>_xlfn.CONCAT(BIN2HEX(_xlfn.CONCAT(C20:F20), 1), BIN2HEX(_xlfn.CONCAT(G20:N20), 2), BIN2HEX(_xlfn.CONCAT(O20:V20), 2), BIN2HEX(_xlfn.CONCAT(W20:AD20), 2) )</f>
        <v>0000023</v>
      </c>
    </row>
    <row r="21" spans="1:75">
      <c r="A21" s="4" t="s">
        <v>38</v>
      </c>
      <c r="B21" s="8"/>
      <c r="C21" s="28"/>
      <c r="D21" s="29"/>
      <c r="E21" s="29"/>
      <c r="F21" s="29"/>
      <c r="G21" s="29"/>
      <c r="H21" s="29"/>
      <c r="I21" s="39"/>
      <c r="J21" s="39"/>
      <c r="K21" s="39"/>
      <c r="L21" s="39"/>
      <c r="M21" s="58"/>
      <c r="N21" s="54"/>
      <c r="O21" s="75">
        <v>0</v>
      </c>
      <c r="P21" s="75">
        <v>0</v>
      </c>
      <c r="Q21" s="54"/>
      <c r="R21" s="58"/>
      <c r="S21" s="54"/>
      <c r="T21" s="54"/>
      <c r="U21" s="58"/>
      <c r="V21" s="54"/>
      <c r="W21" s="66"/>
      <c r="X21" s="66"/>
      <c r="Y21" s="88">
        <v>0</v>
      </c>
      <c r="Z21" s="88">
        <v>0</v>
      </c>
      <c r="AA21" s="88">
        <v>1</v>
      </c>
      <c r="AB21" s="88">
        <v>0</v>
      </c>
      <c r="AC21" s="88">
        <v>0</v>
      </c>
      <c r="AD21" s="89">
        <v>0</v>
      </c>
      <c r="AH21" t="str">
        <f>_xlfn.CONCAT(BIN2HEX(_xlfn.CONCAT(C21:F21), 1), BIN2HEX(_xlfn.CONCAT(G21:N21), 2), BIN2HEX(_xlfn.CONCAT(O21:V21), 2), BIN2HEX(_xlfn.CONCAT(W21:AD21), 2) )</f>
        <v>0000008</v>
      </c>
    </row>
    <row r="22" spans="1:75" ht="30.95">
      <c r="A22" s="10" t="s">
        <v>39</v>
      </c>
      <c r="B22" s="6"/>
      <c r="C22" s="30"/>
      <c r="D22" s="31"/>
      <c r="E22" s="31"/>
      <c r="F22" s="31"/>
      <c r="G22" s="31"/>
      <c r="H22" s="31"/>
      <c r="I22" s="38"/>
      <c r="J22" s="38"/>
      <c r="K22" s="38"/>
      <c r="L22" s="38"/>
      <c r="M22" s="49"/>
      <c r="N22" s="48"/>
      <c r="O22" s="74"/>
      <c r="P22" s="76"/>
      <c r="Q22" s="48"/>
      <c r="R22" s="49"/>
      <c r="S22" s="48"/>
      <c r="T22" s="48"/>
      <c r="U22" s="49"/>
      <c r="V22" s="48"/>
      <c r="W22" s="65"/>
      <c r="X22" s="65"/>
      <c r="Y22" s="77"/>
      <c r="Z22" s="77"/>
      <c r="AA22" s="77"/>
      <c r="AB22" s="77"/>
      <c r="AC22" s="77"/>
      <c r="AD22" s="83"/>
    </row>
    <row r="23" spans="1:75" ht="32.1" customHeight="1">
      <c r="A23" s="7" t="s">
        <v>40</v>
      </c>
      <c r="C23" s="30"/>
      <c r="D23" s="31"/>
      <c r="E23" s="31"/>
      <c r="F23" s="31"/>
      <c r="G23" s="31"/>
      <c r="H23" s="31"/>
      <c r="I23" s="38"/>
      <c r="J23" s="38"/>
      <c r="K23" s="38"/>
      <c r="L23" s="38"/>
      <c r="M23" s="49"/>
      <c r="N23" s="48"/>
      <c r="O23" s="74">
        <v>0</v>
      </c>
      <c r="P23" s="74">
        <v>0</v>
      </c>
      <c r="Q23" s="48"/>
      <c r="R23" s="49"/>
      <c r="S23" s="48"/>
      <c r="T23" s="48"/>
      <c r="U23" s="49"/>
      <c r="V23" s="48"/>
      <c r="W23" s="65"/>
      <c r="X23" s="65"/>
      <c r="Y23" s="77">
        <v>0</v>
      </c>
      <c r="Z23" s="77">
        <v>1</v>
      </c>
      <c r="AA23" s="77">
        <v>1</v>
      </c>
      <c r="AB23" s="77">
        <v>0</v>
      </c>
      <c r="AC23" s="77">
        <v>1</v>
      </c>
      <c r="AD23" s="83">
        <v>0</v>
      </c>
      <c r="AH23" t="str">
        <f>_xlfn.CONCAT(BIN2HEX(_xlfn.CONCAT(C23:F23), 1), BIN2HEX(_xlfn.CONCAT(G23:N23), 2), BIN2HEX(_xlfn.CONCAT(O23:V23), 2), BIN2HEX(_xlfn.CONCAT(W23:AD23), 2) )</f>
        <v>000001A</v>
      </c>
    </row>
    <row r="24" spans="1:75">
      <c r="A24" s="7" t="s">
        <v>41</v>
      </c>
      <c r="C24" s="30"/>
      <c r="D24" s="31"/>
      <c r="E24" s="31"/>
      <c r="F24" s="31"/>
      <c r="G24" s="31"/>
      <c r="H24" s="31"/>
      <c r="I24" s="38"/>
      <c r="J24" s="38"/>
      <c r="K24" s="38"/>
      <c r="L24" s="38"/>
      <c r="M24" s="49"/>
      <c r="N24" s="48"/>
      <c r="O24" s="74">
        <v>0</v>
      </c>
      <c r="P24" s="74">
        <v>0</v>
      </c>
      <c r="Q24" s="48"/>
      <c r="R24" s="49"/>
      <c r="S24" s="48"/>
      <c r="T24" s="48"/>
      <c r="U24" s="49"/>
      <c r="V24" s="48"/>
      <c r="W24" s="65"/>
      <c r="X24" s="65"/>
      <c r="Y24" s="77">
        <v>1</v>
      </c>
      <c r="Z24" s="77">
        <v>0</v>
      </c>
      <c r="AA24" s="77">
        <v>1</v>
      </c>
      <c r="AB24" s="77">
        <v>0</v>
      </c>
      <c r="AC24" s="77">
        <v>1</v>
      </c>
      <c r="AD24" s="83">
        <v>0</v>
      </c>
      <c r="AH24" t="str">
        <f>_xlfn.CONCAT(BIN2HEX(_xlfn.CONCAT(C24:F24), 1), BIN2HEX(_xlfn.CONCAT(G24:N24), 2), BIN2HEX(_xlfn.CONCAT(O24:V24), 2), BIN2HEX(_xlfn.CONCAT(W24:AD24), 2) )</f>
        <v>000002A</v>
      </c>
    </row>
    <row r="25" spans="1:75">
      <c r="A25" s="7" t="s">
        <v>42</v>
      </c>
      <c r="C25" s="30"/>
      <c r="D25" s="31"/>
      <c r="E25" s="31"/>
      <c r="F25" s="31"/>
      <c r="G25" s="31"/>
      <c r="H25" s="31"/>
      <c r="I25" s="38"/>
      <c r="J25" s="38"/>
      <c r="K25" s="38"/>
      <c r="L25" s="38"/>
      <c r="M25" s="49"/>
      <c r="N25" s="48"/>
      <c r="O25" s="74">
        <v>0</v>
      </c>
      <c r="P25" s="74">
        <v>0</v>
      </c>
      <c r="Q25" s="48"/>
      <c r="R25" s="49"/>
      <c r="S25" s="48"/>
      <c r="T25" s="48"/>
      <c r="U25" s="49"/>
      <c r="V25" s="48"/>
      <c r="W25" s="65"/>
      <c r="X25" s="65"/>
      <c r="Y25" s="77">
        <v>1</v>
      </c>
      <c r="Z25" s="77">
        <v>1</v>
      </c>
      <c r="AA25" s="77">
        <v>1</v>
      </c>
      <c r="AB25" s="77">
        <v>0</v>
      </c>
      <c r="AC25" s="77">
        <v>1</v>
      </c>
      <c r="AD25" s="83">
        <v>0</v>
      </c>
      <c r="AH25" t="str">
        <f>_xlfn.CONCAT(BIN2HEX(_xlfn.CONCAT(C25:F25), 1), BIN2HEX(_xlfn.CONCAT(G25:N25), 2), BIN2HEX(_xlfn.CONCAT(O25:V25), 2), BIN2HEX(_xlfn.CONCAT(W25:AD25), 2) )</f>
        <v>000003A</v>
      </c>
    </row>
    <row r="26" spans="1:75">
      <c r="A26" s="7" t="s">
        <v>43</v>
      </c>
      <c r="C26" s="30"/>
      <c r="D26" s="31"/>
      <c r="E26" s="31"/>
      <c r="F26" s="31"/>
      <c r="G26" s="31"/>
      <c r="H26" s="31"/>
      <c r="I26" s="38"/>
      <c r="J26" s="38"/>
      <c r="K26" s="38"/>
      <c r="L26" s="38"/>
      <c r="M26" s="49"/>
      <c r="N26" s="48"/>
      <c r="O26" s="74">
        <v>0</v>
      </c>
      <c r="P26" s="74">
        <v>0</v>
      </c>
      <c r="Q26" s="48"/>
      <c r="R26" s="49"/>
      <c r="S26" s="48"/>
      <c r="T26" s="48"/>
      <c r="U26" s="49"/>
      <c r="V26" s="48"/>
      <c r="W26" s="65"/>
      <c r="X26" s="65"/>
      <c r="Y26" s="77">
        <v>0</v>
      </c>
      <c r="Z26" s="77">
        <v>1</v>
      </c>
      <c r="AA26" s="77">
        <v>1</v>
      </c>
      <c r="AB26" s="77">
        <v>1</v>
      </c>
      <c r="AC26" s="77">
        <v>0</v>
      </c>
      <c r="AD26" s="83">
        <v>1</v>
      </c>
      <c r="AH26" t="str">
        <f>_xlfn.CONCAT(BIN2HEX(_xlfn.CONCAT(C26:F26), 1), BIN2HEX(_xlfn.CONCAT(G26:N26), 2), BIN2HEX(_xlfn.CONCAT(O26:V26), 2), BIN2HEX(_xlfn.CONCAT(W26:AD26), 2) )</f>
        <v>000001D</v>
      </c>
    </row>
    <row r="27" spans="1:75">
      <c r="A27" s="4" t="s">
        <v>44</v>
      </c>
      <c r="B27" s="8"/>
      <c r="C27" s="28"/>
      <c r="D27" s="29"/>
      <c r="E27" s="29"/>
      <c r="F27" s="29"/>
      <c r="G27" s="29"/>
      <c r="H27" s="29"/>
      <c r="I27" s="39"/>
      <c r="J27" s="39"/>
      <c r="K27" s="39"/>
      <c r="L27" s="39"/>
      <c r="M27" s="58"/>
      <c r="N27" s="54"/>
      <c r="O27" s="75">
        <v>0</v>
      </c>
      <c r="P27" s="75">
        <v>0</v>
      </c>
      <c r="Q27" s="54"/>
      <c r="R27" s="58"/>
      <c r="S27" s="54"/>
      <c r="T27" s="54"/>
      <c r="U27" s="58"/>
      <c r="V27" s="54"/>
      <c r="W27" s="66"/>
      <c r="X27" s="66"/>
      <c r="Y27" s="88">
        <v>0</v>
      </c>
      <c r="Z27" s="88">
        <v>0</v>
      </c>
      <c r="AA27" s="88">
        <v>1</v>
      </c>
      <c r="AB27" s="88">
        <v>0</v>
      </c>
      <c r="AC27" s="88">
        <v>0</v>
      </c>
      <c r="AD27" s="89">
        <v>0</v>
      </c>
      <c r="AH27" t="str">
        <f>_xlfn.CONCAT(BIN2HEX(_xlfn.CONCAT(C27:F27), 1), BIN2HEX(_xlfn.CONCAT(G27:N27), 2), BIN2HEX(_xlfn.CONCAT(O27:V27), 2), BIN2HEX(_xlfn.CONCAT(W27:AD27), 2) )</f>
        <v>0000008</v>
      </c>
    </row>
    <row r="28" spans="1:75" ht="30.95">
      <c r="A28" s="10" t="s">
        <v>45</v>
      </c>
      <c r="B28" s="6"/>
      <c r="C28" s="30"/>
      <c r="D28" s="31"/>
      <c r="E28" s="31"/>
      <c r="F28" s="31"/>
      <c r="G28" s="31"/>
      <c r="H28" s="31"/>
      <c r="I28" s="38"/>
      <c r="J28" s="38"/>
      <c r="K28" s="38"/>
      <c r="L28" s="38"/>
      <c r="M28" s="49"/>
      <c r="N28" s="48"/>
      <c r="O28" s="74"/>
      <c r="P28" s="76"/>
      <c r="Q28" s="48"/>
      <c r="R28" s="49"/>
      <c r="S28" s="48"/>
      <c r="T28" s="48"/>
      <c r="U28" s="49"/>
      <c r="V28" s="48"/>
      <c r="W28" s="65"/>
      <c r="X28" s="65"/>
      <c r="Y28" s="77"/>
      <c r="Z28" s="77"/>
      <c r="AA28" s="77"/>
      <c r="AB28" s="77"/>
      <c r="AC28" s="77"/>
      <c r="AD28" s="83"/>
    </row>
    <row r="29" spans="1:75">
      <c r="A29" s="7" t="s">
        <v>46</v>
      </c>
      <c r="C29" s="30"/>
      <c r="D29" s="31"/>
      <c r="E29" s="31"/>
      <c r="F29" s="31"/>
      <c r="G29" s="31"/>
      <c r="H29" s="31"/>
      <c r="I29" s="38"/>
      <c r="J29" s="38"/>
      <c r="K29" s="38"/>
      <c r="L29" s="38"/>
      <c r="M29" s="49"/>
      <c r="N29" s="48"/>
      <c r="O29" s="74">
        <v>0</v>
      </c>
      <c r="P29" s="74">
        <v>0</v>
      </c>
      <c r="Q29" s="48"/>
      <c r="R29" s="49"/>
      <c r="S29" s="48"/>
      <c r="T29" s="48"/>
      <c r="U29" s="49"/>
      <c r="V29" s="48"/>
      <c r="W29" s="65"/>
      <c r="X29" s="65"/>
      <c r="Y29" s="77">
        <v>0</v>
      </c>
      <c r="Z29" s="77">
        <v>1</v>
      </c>
      <c r="AA29" s="77">
        <v>1</v>
      </c>
      <c r="AB29" s="77">
        <v>1</v>
      </c>
      <c r="AC29" s="77">
        <v>1</v>
      </c>
      <c r="AD29" s="83">
        <v>1</v>
      </c>
      <c r="AH29" t="str">
        <f>_xlfn.CONCAT(BIN2HEX(_xlfn.CONCAT(C29:F29), 1), BIN2HEX(_xlfn.CONCAT(G29:N29), 2), BIN2HEX(_xlfn.CONCAT(O29:V29), 2), BIN2HEX(_xlfn.CONCAT(W29:AD29), 2) )</f>
        <v>000001F</v>
      </c>
    </row>
    <row r="30" spans="1:75" ht="14.45" customHeight="1">
      <c r="A30" s="7" t="s">
        <v>47</v>
      </c>
      <c r="C30" s="30"/>
      <c r="D30" s="31"/>
      <c r="E30" s="31"/>
      <c r="F30" s="31"/>
      <c r="G30" s="31"/>
      <c r="H30" s="31"/>
      <c r="I30" s="38"/>
      <c r="J30" s="38"/>
      <c r="K30" s="38"/>
      <c r="L30" s="38"/>
      <c r="M30" s="49"/>
      <c r="N30" s="48"/>
      <c r="O30" s="74">
        <v>0</v>
      </c>
      <c r="P30" s="74">
        <v>1</v>
      </c>
      <c r="Q30" s="48"/>
      <c r="R30" s="49"/>
      <c r="S30" s="48"/>
      <c r="T30" s="48"/>
      <c r="U30" s="49"/>
      <c r="V30" s="48"/>
      <c r="W30" s="65"/>
      <c r="X30" s="65"/>
      <c r="Y30" s="77">
        <v>0</v>
      </c>
      <c r="Z30" s="77">
        <v>0</v>
      </c>
      <c r="AA30" s="77">
        <v>1</v>
      </c>
      <c r="AB30" s="77">
        <v>0</v>
      </c>
      <c r="AC30" s="77">
        <v>0</v>
      </c>
      <c r="AD30" s="83">
        <v>0</v>
      </c>
      <c r="AH30" t="str">
        <f>_xlfn.CONCAT(BIN2HEX(_xlfn.CONCAT(C30:F30), 1), BIN2HEX(_xlfn.CONCAT(G30:N30), 2), BIN2HEX(_xlfn.CONCAT(O30:V30), 2), BIN2HEX(_xlfn.CONCAT(W30:AD30), 2) )</f>
        <v>0000108</v>
      </c>
    </row>
    <row r="31" spans="1:7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</row>
    <row r="38" ht="32.1" customHeight="1"/>
    <row r="43" ht="32.1" customHeight="1"/>
    <row r="46" ht="32.1" customHeight="1"/>
    <row r="49" ht="32.1" customHeight="1"/>
    <row r="54" ht="14.1" customHeight="1"/>
    <row r="59" ht="32.1" customHeight="1"/>
    <row r="66" ht="32.1" customHeight="1"/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zoomScale="110" zoomScaleNormal="110" workbookViewId="0">
      <selection activeCell="C32" sqref="C32"/>
    </sheetView>
  </sheetViews>
  <sheetFormatPr defaultColWidth="11.125" defaultRowHeight="15.95"/>
  <cols>
    <col min="3" max="3" width="15.5" customWidth="1"/>
    <col min="6" max="6" width="10.625" customWidth="1"/>
  </cols>
  <sheetData>
    <row r="1" spans="1:7">
      <c r="A1" s="15">
        <v>0</v>
      </c>
      <c r="B1" s="15" t="str">
        <f t="shared" ref="B1:B64" si="0">DEC2BIN(A1, 6)</f>
        <v>000000</v>
      </c>
      <c r="C1" s="15" t="s">
        <v>48</v>
      </c>
      <c r="D1" s="18" t="s">
        <v>49</v>
      </c>
      <c r="G1" t="s">
        <v>50</v>
      </c>
    </row>
    <row r="2" spans="1:7">
      <c r="A2" s="15">
        <v>1</v>
      </c>
      <c r="B2" s="15" t="str">
        <f t="shared" si="0"/>
        <v>000001</v>
      </c>
      <c r="C2" s="15" t="s">
        <v>24</v>
      </c>
      <c r="D2" s="16" t="str">
        <f>microcode!AH4</f>
        <v>0000008</v>
      </c>
    </row>
    <row r="3" spans="1:7">
      <c r="A3" s="15">
        <v>2</v>
      </c>
      <c r="B3" s="15" t="str">
        <f t="shared" si="0"/>
        <v>000010</v>
      </c>
      <c r="C3" s="15" t="s">
        <v>51</v>
      </c>
      <c r="D3" s="18" t="s">
        <v>52</v>
      </c>
    </row>
    <row r="4" spans="1:7">
      <c r="A4" s="15">
        <v>3</v>
      </c>
      <c r="B4" s="15" t="str">
        <f t="shared" si="0"/>
        <v>000011</v>
      </c>
      <c r="C4" s="15" t="s">
        <v>36</v>
      </c>
      <c r="D4" s="20" t="str">
        <f>microcode!AH19</f>
        <v>0000113</v>
      </c>
      <c r="E4" t="s">
        <v>53</v>
      </c>
    </row>
    <row r="5" spans="1:7">
      <c r="A5" s="15">
        <v>4</v>
      </c>
      <c r="B5" s="15" t="str">
        <f t="shared" si="0"/>
        <v>000100</v>
      </c>
      <c r="C5" s="15" t="s">
        <v>54</v>
      </c>
      <c r="D5" s="18" t="s">
        <v>55</v>
      </c>
      <c r="F5" s="18" t="s">
        <v>55</v>
      </c>
      <c r="G5" t="s">
        <v>56</v>
      </c>
    </row>
    <row r="6" spans="1:7">
      <c r="A6" s="15">
        <v>5</v>
      </c>
      <c r="B6" s="15" t="str">
        <f t="shared" si="0"/>
        <v>000101</v>
      </c>
      <c r="C6" s="15" t="s">
        <v>46</v>
      </c>
      <c r="D6" t="str">
        <f>microcode!AH29</f>
        <v>000001F</v>
      </c>
      <c r="E6" t="s">
        <v>53</v>
      </c>
      <c r="F6" s="16" t="str">
        <f>microcode!AH9</f>
        <v>0000008</v>
      </c>
      <c r="G6" s="15" t="s">
        <v>57</v>
      </c>
    </row>
    <row r="7" spans="1:7">
      <c r="A7" s="15">
        <v>6</v>
      </c>
      <c r="B7" s="15" t="str">
        <f t="shared" si="0"/>
        <v>000110</v>
      </c>
      <c r="C7" s="15" t="s">
        <v>32</v>
      </c>
      <c r="D7" t="str">
        <f>microcode!AH15</f>
        <v>0000116</v>
      </c>
      <c r="E7" t="s">
        <v>53</v>
      </c>
      <c r="F7" s="16" t="str">
        <f>microcode!AH15</f>
        <v>0000116</v>
      </c>
      <c r="G7" s="15" t="s">
        <v>58</v>
      </c>
    </row>
    <row r="8" spans="1:7">
      <c r="A8" s="15">
        <v>7</v>
      </c>
      <c r="B8" s="15" t="str">
        <f t="shared" si="0"/>
        <v>000111</v>
      </c>
      <c r="C8" s="15" t="s">
        <v>26</v>
      </c>
      <c r="D8" s="20" t="str">
        <f>microcode!AH7</f>
        <v>0000017</v>
      </c>
      <c r="E8" t="s">
        <v>53</v>
      </c>
      <c r="F8" s="18" t="s">
        <v>59</v>
      </c>
      <c r="G8" t="s">
        <v>60</v>
      </c>
    </row>
    <row r="9" spans="1:7">
      <c r="A9" s="15">
        <v>8</v>
      </c>
      <c r="B9" s="15" t="str">
        <f t="shared" si="0"/>
        <v>001000</v>
      </c>
      <c r="C9" s="15" t="s">
        <v>61</v>
      </c>
      <c r="D9" s="18">
        <v>8600018</v>
      </c>
    </row>
    <row r="10" spans="1:7">
      <c r="A10" s="15">
        <v>9</v>
      </c>
      <c r="B10" s="15" t="str">
        <f t="shared" si="0"/>
        <v>001001</v>
      </c>
      <c r="C10" s="15" t="s">
        <v>62</v>
      </c>
      <c r="D10" s="18" t="s">
        <v>63</v>
      </c>
    </row>
    <row r="11" spans="1:7">
      <c r="A11" s="15">
        <v>10</v>
      </c>
      <c r="B11" s="15" t="str">
        <f t="shared" si="0"/>
        <v>001010</v>
      </c>
      <c r="C11" s="15" t="s">
        <v>40</v>
      </c>
      <c r="D11" t="str">
        <f>microcode!AH23</f>
        <v>000001A</v>
      </c>
      <c r="E11" t="s">
        <v>53</v>
      </c>
      <c r="F11" s="18" t="s">
        <v>64</v>
      </c>
      <c r="G11" t="s">
        <v>65</v>
      </c>
    </row>
    <row r="12" spans="1:7">
      <c r="A12" s="15">
        <v>11</v>
      </c>
      <c r="B12" s="15" t="str">
        <f t="shared" si="0"/>
        <v>001011</v>
      </c>
      <c r="C12" s="15" t="s">
        <v>66</v>
      </c>
      <c r="D12" s="18" t="s">
        <v>67</v>
      </c>
    </row>
    <row r="13" spans="1:7">
      <c r="A13" s="15">
        <v>12</v>
      </c>
      <c r="B13" s="15" t="str">
        <f t="shared" si="0"/>
        <v>001100</v>
      </c>
      <c r="C13" s="15" t="s">
        <v>30</v>
      </c>
      <c r="D13" s="16" t="str">
        <f>microcode!AH12</f>
        <v>0000008</v>
      </c>
      <c r="E13" t="s">
        <v>53</v>
      </c>
    </row>
    <row r="14" spans="1:7">
      <c r="A14" s="15">
        <v>13</v>
      </c>
      <c r="B14" s="15" t="str">
        <f>DEC2BIN(A14, 6)</f>
        <v>001101</v>
      </c>
      <c r="C14" s="15" t="s">
        <v>68</v>
      </c>
      <c r="D14" s="18" t="s">
        <v>69</v>
      </c>
    </row>
    <row r="15" spans="1:7">
      <c r="A15" s="15">
        <v>14</v>
      </c>
      <c r="B15" s="15" t="str">
        <f t="shared" si="0"/>
        <v>001110</v>
      </c>
      <c r="C15" s="15" t="s">
        <v>70</v>
      </c>
      <c r="D15" s="18" t="s">
        <v>71</v>
      </c>
    </row>
    <row r="16" spans="1:7">
      <c r="A16" s="15">
        <v>15</v>
      </c>
      <c r="B16" s="15" t="str">
        <f t="shared" si="0"/>
        <v>001111</v>
      </c>
      <c r="C16" s="15" t="s">
        <v>72</v>
      </c>
      <c r="D16" s="18" t="s">
        <v>73</v>
      </c>
    </row>
    <row r="17" spans="1:7">
      <c r="A17" s="15">
        <v>16</v>
      </c>
      <c r="B17" s="15" t="str">
        <f t="shared" si="0"/>
        <v>010000</v>
      </c>
      <c r="C17" s="15" t="s">
        <v>74</v>
      </c>
      <c r="D17" s="18" t="s">
        <v>75</v>
      </c>
    </row>
    <row r="18" spans="1:7">
      <c r="A18" s="15">
        <v>17</v>
      </c>
      <c r="B18" s="15" t="str">
        <f t="shared" si="0"/>
        <v>010001</v>
      </c>
      <c r="C18" s="15" t="s">
        <v>76</v>
      </c>
      <c r="D18" s="18" t="s">
        <v>77</v>
      </c>
    </row>
    <row r="19" spans="1:7">
      <c r="A19" s="15">
        <v>18</v>
      </c>
      <c r="B19" s="15" t="str">
        <f t="shared" si="0"/>
        <v>010010</v>
      </c>
      <c r="C19" s="15" t="s">
        <v>78</v>
      </c>
      <c r="D19" s="18" t="s">
        <v>79</v>
      </c>
    </row>
    <row r="20" spans="1:7">
      <c r="A20" s="15">
        <v>19</v>
      </c>
      <c r="B20" s="15" t="str">
        <f t="shared" si="0"/>
        <v>010011</v>
      </c>
      <c r="C20" s="15" t="s">
        <v>37</v>
      </c>
      <c r="D20" s="20" t="str">
        <f>microcode!AH20</f>
        <v>0000023</v>
      </c>
      <c r="E20" t="s">
        <v>53</v>
      </c>
    </row>
    <row r="21" spans="1:7" ht="17.100000000000001">
      <c r="A21" s="15">
        <v>20</v>
      </c>
      <c r="B21" s="15" t="str">
        <f t="shared" si="0"/>
        <v>010100</v>
      </c>
      <c r="C21" s="15" t="s">
        <v>80</v>
      </c>
      <c r="D21" s="18" t="s">
        <v>81</v>
      </c>
      <c r="E21" s="12"/>
      <c r="F21" s="18" t="s">
        <v>81</v>
      </c>
      <c r="G21" t="s">
        <v>80</v>
      </c>
    </row>
    <row r="22" spans="1:7">
      <c r="A22" s="15">
        <v>21</v>
      </c>
      <c r="B22" s="15" t="str">
        <f t="shared" si="0"/>
        <v>010101</v>
      </c>
      <c r="C22" s="15" t="s">
        <v>82</v>
      </c>
      <c r="D22" s="18" t="s">
        <v>83</v>
      </c>
    </row>
    <row r="23" spans="1:7">
      <c r="A23" s="15">
        <v>22</v>
      </c>
      <c r="B23" s="15" t="str">
        <f t="shared" si="0"/>
        <v>010110</v>
      </c>
      <c r="C23" s="15" t="s">
        <v>33</v>
      </c>
      <c r="D23" s="16" t="str">
        <f>microcode!AH16</f>
        <v>0000126</v>
      </c>
      <c r="E23" t="s">
        <v>53</v>
      </c>
    </row>
    <row r="24" spans="1:7">
      <c r="A24" s="15">
        <v>23</v>
      </c>
      <c r="B24" s="15" t="str">
        <f t="shared" si="0"/>
        <v>010111</v>
      </c>
      <c r="C24" s="15" t="s">
        <v>27</v>
      </c>
      <c r="D24" s="20" t="str">
        <f>microcode!AH8</f>
        <v>0000027</v>
      </c>
      <c r="E24" t="s">
        <v>53</v>
      </c>
      <c r="F24" s="18" t="s">
        <v>84</v>
      </c>
      <c r="G24" t="s">
        <v>85</v>
      </c>
    </row>
    <row r="25" spans="1:7">
      <c r="A25" s="15">
        <v>24</v>
      </c>
      <c r="B25" s="15" t="str">
        <f t="shared" si="0"/>
        <v>011000</v>
      </c>
      <c r="C25" s="15" t="s">
        <v>86</v>
      </c>
      <c r="D25" s="18" t="s">
        <v>87</v>
      </c>
    </row>
    <row r="26" spans="1:7">
      <c r="A26" s="15">
        <v>25</v>
      </c>
      <c r="B26" s="15" t="str">
        <f t="shared" si="0"/>
        <v>011001</v>
      </c>
      <c r="C26" s="15" t="s">
        <v>88</v>
      </c>
      <c r="D26" s="16">
        <v>0</v>
      </c>
    </row>
    <row r="27" spans="1:7">
      <c r="A27" s="15">
        <v>26</v>
      </c>
      <c r="B27" s="15" t="str">
        <f t="shared" si="0"/>
        <v>011010</v>
      </c>
      <c r="C27" s="15" t="s">
        <v>41</v>
      </c>
      <c r="D27" t="str">
        <f>microcode!AH24</f>
        <v>000002A</v>
      </c>
      <c r="E27" t="s">
        <v>53</v>
      </c>
      <c r="F27" s="18" t="s">
        <v>89</v>
      </c>
      <c r="G27" t="s">
        <v>90</v>
      </c>
    </row>
    <row r="28" spans="1:7">
      <c r="A28" s="15">
        <v>27</v>
      </c>
      <c r="B28" s="15" t="str">
        <f t="shared" si="0"/>
        <v>011011</v>
      </c>
      <c r="C28" s="15" t="s">
        <v>91</v>
      </c>
      <c r="D28" s="18" t="s">
        <v>92</v>
      </c>
    </row>
    <row r="29" spans="1:7">
      <c r="A29" s="15">
        <v>28</v>
      </c>
      <c r="B29" s="15" t="str">
        <f t="shared" si="0"/>
        <v>011100</v>
      </c>
      <c r="C29" s="15" t="s">
        <v>88</v>
      </c>
      <c r="D29" s="16">
        <v>0</v>
      </c>
    </row>
    <row r="30" spans="1:7">
      <c r="A30" s="15">
        <v>29</v>
      </c>
      <c r="B30" s="15" t="str">
        <f t="shared" si="0"/>
        <v>011101</v>
      </c>
      <c r="C30" s="15" t="s">
        <v>44</v>
      </c>
      <c r="D30" t="str">
        <f>microcode!AH27</f>
        <v>0000008</v>
      </c>
      <c r="E30" t="s">
        <v>53</v>
      </c>
      <c r="F30" s="18" t="s">
        <v>83</v>
      </c>
      <c r="G30" t="s">
        <v>93</v>
      </c>
    </row>
    <row r="31" spans="1:7">
      <c r="A31" s="15">
        <v>30</v>
      </c>
      <c r="B31" s="15" t="str">
        <f t="shared" si="0"/>
        <v>011110</v>
      </c>
      <c r="C31" s="15" t="s">
        <v>88</v>
      </c>
      <c r="D31" s="16">
        <v>0</v>
      </c>
    </row>
    <row r="32" spans="1:7">
      <c r="A32" s="15">
        <v>31</v>
      </c>
      <c r="B32" s="15" t="str">
        <f>DEC2BIN(A32, 6)</f>
        <v>011111</v>
      </c>
      <c r="C32" s="15" t="s">
        <v>47</v>
      </c>
      <c r="D32" s="16" t="str">
        <f>microcode!AH30</f>
        <v>0000108</v>
      </c>
      <c r="E32" t="s">
        <v>53</v>
      </c>
    </row>
    <row r="33" spans="1:7">
      <c r="A33" s="15">
        <v>32</v>
      </c>
      <c r="B33" s="15" t="str">
        <f t="shared" si="0"/>
        <v>100000</v>
      </c>
      <c r="C33" s="15" t="s">
        <v>88</v>
      </c>
      <c r="D33" s="16">
        <v>0</v>
      </c>
    </row>
    <row r="34" spans="1:7">
      <c r="A34" s="15">
        <v>33</v>
      </c>
      <c r="B34" s="15" t="str">
        <f t="shared" si="0"/>
        <v>100001</v>
      </c>
      <c r="C34" s="15" t="s">
        <v>88</v>
      </c>
      <c r="D34" s="16">
        <v>0</v>
      </c>
    </row>
    <row r="35" spans="1:7">
      <c r="A35" s="15">
        <v>34</v>
      </c>
      <c r="B35" s="15" t="str">
        <f t="shared" si="0"/>
        <v>100010</v>
      </c>
      <c r="C35" s="15" t="s">
        <v>94</v>
      </c>
      <c r="D35" s="18" t="s">
        <v>83</v>
      </c>
    </row>
    <row r="36" spans="1:7">
      <c r="A36" s="15">
        <v>35</v>
      </c>
      <c r="B36" s="15" t="str">
        <f t="shared" si="0"/>
        <v>100011</v>
      </c>
      <c r="C36" s="15" t="s">
        <v>38</v>
      </c>
      <c r="D36" s="20" t="str">
        <f>microcode!AH21</f>
        <v>0000008</v>
      </c>
      <c r="E36" t="s">
        <v>53</v>
      </c>
    </row>
    <row r="37" spans="1:7">
      <c r="A37" s="15">
        <v>36</v>
      </c>
      <c r="B37" s="15" t="str">
        <f t="shared" si="0"/>
        <v>100100</v>
      </c>
      <c r="C37" s="15" t="s">
        <v>95</v>
      </c>
      <c r="D37" s="18" t="s">
        <v>96</v>
      </c>
    </row>
    <row r="38" spans="1:7">
      <c r="A38" s="15">
        <v>37</v>
      </c>
      <c r="B38" s="15" t="str">
        <f t="shared" si="0"/>
        <v>100101</v>
      </c>
      <c r="C38" s="15" t="s">
        <v>88</v>
      </c>
      <c r="D38" s="16">
        <v>0</v>
      </c>
    </row>
    <row r="39" spans="1:7">
      <c r="A39" s="15">
        <v>38</v>
      </c>
      <c r="B39" s="15" t="str">
        <f t="shared" si="0"/>
        <v>100110</v>
      </c>
      <c r="C39" s="15" t="s">
        <v>34</v>
      </c>
      <c r="D39" s="16" t="str">
        <f>microcode!AH17</f>
        <v>0000108</v>
      </c>
      <c r="E39" t="s">
        <v>53</v>
      </c>
    </row>
    <row r="40" spans="1:7">
      <c r="A40" s="15">
        <v>39</v>
      </c>
      <c r="B40" s="15" t="str">
        <f t="shared" si="0"/>
        <v>100111</v>
      </c>
      <c r="C40" s="15" t="s">
        <v>28</v>
      </c>
      <c r="D40" t="str">
        <f>microcode!AH9</f>
        <v>0000008</v>
      </c>
      <c r="E40" t="s">
        <v>53</v>
      </c>
      <c r="F40" s="18" t="s">
        <v>97</v>
      </c>
      <c r="G40" s="15" t="s">
        <v>98</v>
      </c>
    </row>
    <row r="41" spans="1:7">
      <c r="A41" s="15">
        <v>40</v>
      </c>
      <c r="B41" s="15" t="str">
        <f t="shared" si="0"/>
        <v>101000</v>
      </c>
      <c r="C41" s="15" t="s">
        <v>99</v>
      </c>
      <c r="D41" s="18">
        <v>2100038</v>
      </c>
    </row>
    <row r="42" spans="1:7">
      <c r="A42" s="15">
        <v>41</v>
      </c>
      <c r="B42" s="15" t="str">
        <f t="shared" si="0"/>
        <v>101001</v>
      </c>
      <c r="C42" s="15" t="s">
        <v>88</v>
      </c>
      <c r="D42" s="16">
        <v>0</v>
      </c>
    </row>
    <row r="43" spans="1:7">
      <c r="A43" s="15">
        <v>42</v>
      </c>
      <c r="B43" s="15" t="str">
        <f t="shared" si="0"/>
        <v>101010</v>
      </c>
      <c r="C43" s="15" t="s">
        <v>42</v>
      </c>
      <c r="D43" t="str">
        <f>microcode!AH25</f>
        <v>000003A</v>
      </c>
      <c r="E43" t="s">
        <v>53</v>
      </c>
      <c r="F43" s="18" t="s">
        <v>100</v>
      </c>
      <c r="G43" t="s">
        <v>101</v>
      </c>
    </row>
    <row r="44" spans="1:7">
      <c r="A44" s="15">
        <v>43</v>
      </c>
      <c r="B44" s="15" t="str">
        <f t="shared" si="0"/>
        <v>101011</v>
      </c>
      <c r="C44" s="15" t="s">
        <v>102</v>
      </c>
      <c r="D44" s="18" t="s">
        <v>103</v>
      </c>
    </row>
    <row r="45" spans="1:7">
      <c r="A45" s="15">
        <v>44</v>
      </c>
      <c r="B45" s="15" t="str">
        <f t="shared" si="0"/>
        <v>101100</v>
      </c>
      <c r="C45" s="15" t="s">
        <v>88</v>
      </c>
      <c r="D45" s="16">
        <v>0</v>
      </c>
    </row>
    <row r="46" spans="1:7">
      <c r="A46" s="15">
        <v>45</v>
      </c>
      <c r="B46" s="15" t="str">
        <f t="shared" si="0"/>
        <v>101101</v>
      </c>
      <c r="C46" s="15" t="s">
        <v>104</v>
      </c>
      <c r="D46" s="18" t="s">
        <v>97</v>
      </c>
    </row>
    <row r="47" spans="1:7">
      <c r="A47" s="15">
        <v>46</v>
      </c>
      <c r="B47" s="15" t="str">
        <f t="shared" si="0"/>
        <v>101110</v>
      </c>
      <c r="C47" s="15" t="s">
        <v>88</v>
      </c>
      <c r="D47" s="16">
        <v>0</v>
      </c>
    </row>
    <row r="48" spans="1:7">
      <c r="A48" s="15">
        <v>47</v>
      </c>
      <c r="B48" s="15" t="str">
        <f t="shared" si="0"/>
        <v>101111</v>
      </c>
      <c r="C48" s="15" t="s">
        <v>88</v>
      </c>
      <c r="D48" s="16">
        <v>0</v>
      </c>
    </row>
    <row r="49" spans="1:7">
      <c r="A49" s="15">
        <v>48</v>
      </c>
      <c r="B49" s="15" t="str">
        <f t="shared" si="0"/>
        <v>110000</v>
      </c>
      <c r="C49" s="15" t="s">
        <v>88</v>
      </c>
      <c r="D49" s="16">
        <v>0</v>
      </c>
    </row>
    <row r="50" spans="1:7">
      <c r="A50" s="15">
        <v>49</v>
      </c>
      <c r="B50" s="15" t="str">
        <f t="shared" si="0"/>
        <v>110001</v>
      </c>
      <c r="C50" s="15" t="s">
        <v>88</v>
      </c>
      <c r="D50" s="16">
        <v>0</v>
      </c>
    </row>
    <row r="51" spans="1:7">
      <c r="A51" s="15">
        <v>50</v>
      </c>
      <c r="B51" s="15" t="str">
        <f t="shared" si="0"/>
        <v>110010</v>
      </c>
      <c r="C51" s="15" t="s">
        <v>88</v>
      </c>
      <c r="D51" s="16">
        <v>0</v>
      </c>
    </row>
    <row r="52" spans="1:7">
      <c r="A52" s="15">
        <v>51</v>
      </c>
      <c r="B52" s="15" t="str">
        <f t="shared" si="0"/>
        <v>110011</v>
      </c>
      <c r="C52" s="15" t="s">
        <v>88</v>
      </c>
      <c r="D52" s="16">
        <v>0</v>
      </c>
    </row>
    <row r="53" spans="1:7">
      <c r="A53" s="15">
        <v>52</v>
      </c>
      <c r="B53" s="15" t="str">
        <f t="shared" si="0"/>
        <v>110100</v>
      </c>
      <c r="C53" s="15" t="s">
        <v>88</v>
      </c>
      <c r="D53" s="16">
        <v>0</v>
      </c>
    </row>
    <row r="54" spans="1:7">
      <c r="A54" s="15">
        <v>53</v>
      </c>
      <c r="B54" s="15" t="str">
        <f t="shared" si="0"/>
        <v>110101</v>
      </c>
      <c r="C54" s="15" t="s">
        <v>88</v>
      </c>
      <c r="D54" s="16">
        <v>0</v>
      </c>
    </row>
    <row r="55" spans="1:7">
      <c r="A55" s="15">
        <v>54</v>
      </c>
      <c r="B55" s="15" t="str">
        <f t="shared" si="0"/>
        <v>110110</v>
      </c>
      <c r="C55" s="15" t="s">
        <v>88</v>
      </c>
      <c r="D55" s="16">
        <v>0</v>
      </c>
    </row>
    <row r="56" spans="1:7">
      <c r="A56" s="15">
        <v>55</v>
      </c>
      <c r="B56" s="15" t="str">
        <f t="shared" si="0"/>
        <v>110111</v>
      </c>
      <c r="C56" s="15" t="s">
        <v>88</v>
      </c>
      <c r="D56" s="16">
        <v>0</v>
      </c>
    </row>
    <row r="57" spans="1:7">
      <c r="A57" s="15">
        <v>56</v>
      </c>
      <c r="B57" s="15" t="str">
        <f t="shared" si="0"/>
        <v>111000</v>
      </c>
      <c r="C57" s="15" t="s">
        <v>105</v>
      </c>
      <c r="D57" s="18" t="s">
        <v>106</v>
      </c>
    </row>
    <row r="58" spans="1:7">
      <c r="A58" s="15">
        <v>57</v>
      </c>
      <c r="B58" s="15" t="str">
        <f t="shared" si="0"/>
        <v>111001</v>
      </c>
      <c r="C58" s="15" t="s">
        <v>88</v>
      </c>
      <c r="D58" s="16">
        <v>0</v>
      </c>
    </row>
    <row r="59" spans="1:7">
      <c r="A59" s="15">
        <v>58</v>
      </c>
      <c r="B59" s="15" t="str">
        <f t="shared" si="0"/>
        <v>111010</v>
      </c>
      <c r="C59" s="15" t="s">
        <v>43</v>
      </c>
      <c r="D59" t="str">
        <f>microcode!AH26</f>
        <v>000001D</v>
      </c>
      <c r="E59" t="s">
        <v>53</v>
      </c>
      <c r="F59" s="18" t="s">
        <v>107</v>
      </c>
      <c r="G59" t="s">
        <v>108</v>
      </c>
    </row>
    <row r="60" spans="1:7">
      <c r="A60" s="15">
        <v>59</v>
      </c>
      <c r="B60" s="15" t="str">
        <f t="shared" si="0"/>
        <v>111011</v>
      </c>
      <c r="C60" s="15" t="s">
        <v>109</v>
      </c>
      <c r="D60" s="18" t="s">
        <v>110</v>
      </c>
    </row>
    <row r="61" spans="1:7">
      <c r="A61" s="15">
        <v>60</v>
      </c>
      <c r="B61" s="15" t="str">
        <f t="shared" si="0"/>
        <v>111100</v>
      </c>
      <c r="C61" s="15" t="s">
        <v>88</v>
      </c>
      <c r="D61" s="16">
        <v>0</v>
      </c>
    </row>
    <row r="62" spans="1:7">
      <c r="A62" s="15">
        <v>61</v>
      </c>
      <c r="B62" s="15" t="str">
        <f t="shared" si="0"/>
        <v>111101</v>
      </c>
      <c r="C62" s="15" t="s">
        <v>88</v>
      </c>
      <c r="D62" s="16">
        <v>0</v>
      </c>
    </row>
    <row r="63" spans="1:7">
      <c r="A63" s="15">
        <v>62</v>
      </c>
      <c r="B63" s="15" t="str">
        <f t="shared" si="0"/>
        <v>111110</v>
      </c>
      <c r="C63" s="15" t="s">
        <v>88</v>
      </c>
      <c r="D63" s="16">
        <v>0</v>
      </c>
    </row>
    <row r="64" spans="1:7">
      <c r="A64" s="15">
        <v>63</v>
      </c>
      <c r="B64" s="15" t="str">
        <f t="shared" si="0"/>
        <v>111111</v>
      </c>
      <c r="C64" s="15" t="s">
        <v>88</v>
      </c>
      <c r="D64" s="16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Anderson</dc:creator>
  <cp:keywords/>
  <dc:description/>
  <cp:lastModifiedBy/>
  <cp:revision>1</cp:revision>
  <dcterms:created xsi:type="dcterms:W3CDTF">2019-09-08T20:16:07Z</dcterms:created>
  <dcterms:modified xsi:type="dcterms:W3CDTF">2023-06-16T20:29:01Z</dcterms:modified>
  <cp:category/>
  <cp:contentStatus/>
</cp:coreProperties>
</file>